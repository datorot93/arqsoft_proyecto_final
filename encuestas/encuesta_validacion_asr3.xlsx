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uesta" sheetId="1" state="visible" r:id="rId1"/>
    <sheet name="Escala" sheetId="2" state="visible" r:id="rId2"/>
    <sheet name="Result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2" fontId="0" fillId="0" borderId="0" pivotButton="0" quotePrefix="0" xfId="0"/>
    <xf numFmtId="164" fontId="4" fillId="3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  <col width="35" customWidth="1" min="4" max="4"/>
    <col width="8" customWidth="1" min="5" max="5"/>
    <col width="12" customWidth="1" min="6" max="6"/>
    <col width="40" customWidth="1" min="7" max="7"/>
    <col width="14" customWidth="1" min="8" max="8"/>
  </cols>
  <sheetData>
    <row r="1">
      <c r="A1" s="1" t="inlineStr">
        <is>
          <t>Encuesta de Validación del ASR-3 — Facilidad de Integración</t>
        </is>
      </c>
    </row>
    <row r="2" ht="50" customHeight="1">
      <c r="A2" s="2" t="inlineStr">
        <is>
          <t>Caso: Banco Z – Línea Verde · Apertura de CDT y elegibilidad para Crédito Express. Escala: 1=No cumple en absoluto, 2=Cumple parcialmente bajo, 3=Cumple parcialmente, 4=Cumple en alto grado, 5=Cumple a cabalidad. Umbral de aprobación: promedio ponderado &gt; 4.0.</t>
        </is>
      </c>
    </row>
    <row r="4" ht="32" customHeight="1">
      <c r="A4" s="3" t="inlineStr">
        <is>
          <t>ID</t>
        </is>
      </c>
      <c r="B4" s="3" t="inlineStr">
        <is>
          <t>Dimensión técnica</t>
        </is>
      </c>
      <c r="C4" s="3" t="inlineStr">
        <is>
          <t>Pregunta</t>
        </is>
      </c>
      <c r="D4" s="3" t="inlineStr">
        <is>
          <t>Componentes a analizar (diagramas_final)</t>
        </is>
      </c>
      <c r="E4" s="3" t="inlineStr">
        <is>
          <t>Peso</t>
        </is>
      </c>
      <c r="F4" s="3" t="inlineStr">
        <is>
          <t>Calificación (1-5)</t>
        </is>
      </c>
      <c r="G4" s="3" t="inlineStr">
        <is>
          <t>Justificación del experto</t>
        </is>
      </c>
      <c r="H4" s="3" t="inlineStr">
        <is>
          <t>Aporte ponderado</t>
        </is>
      </c>
    </row>
    <row r="5" ht="110" customHeight="1">
      <c r="A5" s="4" t="inlineStr">
        <is>
          <t>Q1</t>
        </is>
      </c>
      <c r="B5" s="5" t="inlineStr">
        <is>
          <t>Estándares de comunicación</t>
        </is>
      </c>
      <c r="C5" s="5" t="inlineStr">
        <is>
          <t>¿En qué medida los componentes ApiGateway, CDTXPais, CreditoExpressXPais y MotorElegibilidadXPais exponen contratos en estándares industriales formales (OpenAPI 3.x para REST, AsyncAPI para los tópicos del MessageBroker, gRPC/Protobuf para RPC interno) verificables a partir del diagrama de componentes y del diagrama de clases?</t>
        </is>
      </c>
      <c r="D5" s="5" t="inlineStr">
        <is>
          <t>ApiGateway, CDTXPais, CreditoExpressXPais, MotorElegibilidadXPais, MessageBroker</t>
        </is>
      </c>
      <c r="E5" s="6" t="n">
        <v>0.12</v>
      </c>
      <c r="F5" s="4" t="n"/>
      <c r="G5" s="5" t="n"/>
      <c r="H5" s="7">
        <f>IFERROR(E5*F5,"")</f>
        <v/>
      </c>
    </row>
    <row r="6" ht="110" customHeight="1">
      <c r="A6" s="4" t="inlineStr">
        <is>
          <t>Q2</t>
        </is>
      </c>
      <c r="B6" s="5" t="inlineStr">
        <is>
          <t>Anti-Corruption Layer (ACL) y desacople semántico</t>
        </is>
      </c>
      <c r="C6" s="5" t="inlineStr">
        <is>
          <t>¿Qué tan claro queda el subsistema Integracion (AdaptadorCore + TraductorDominio + CircuitBreaker) como una Anti-Corruption Layer que evita la fuga del modelo legacy SOAP/CICS de CoreBancoZ hacia los servicios de dominio CDTXPais, CreditoExpressXPais y Pagos, manteniendo un modelo de dominio limpio en LineaVerde?</t>
        </is>
      </c>
      <c r="D6" s="5" t="inlineStr">
        <is>
          <t>AdaptadorCore, TraductorDominio, CircuitBreaker, CoreBancoZ, CDTXPais, CreditoExpressXPais, Pagos</t>
        </is>
      </c>
      <c r="E6" s="6" t="n">
        <v>0.15</v>
      </c>
      <c r="F6" s="4" t="n"/>
      <c r="G6" s="5" t="n"/>
      <c r="H6" s="7">
        <f>IFERROR(E6*F6,"")</f>
        <v/>
      </c>
    </row>
    <row r="7" ht="110" customHeight="1">
      <c r="A7" s="4" t="inlineStr">
        <is>
          <t>Q3</t>
        </is>
      </c>
      <c r="B7" s="5" t="inlineStr">
        <is>
          <t>Asincronía y desacople temporal con el Core</t>
        </is>
      </c>
      <c r="C7" s="5" t="inlineStr">
        <is>
          <t>¿El uso del MessageBroker (tópicos cdt.eventos, credito.eventos, saldo.cambios, eventos) y de ChangeDataCapture reduce el acoplamiento síncrono con CoreBancoZ y permite que la elegibilidad de Crédito Express fluya event-driven sin esperar respuestas síncronas del core?</t>
        </is>
      </c>
      <c r="D7" s="5" t="inlineStr">
        <is>
          <t>MessageBroker, ChangeDataCapture, CoreBancoZ, MotorElegibilidadXPais, ActualizadorCache</t>
        </is>
      </c>
      <c r="E7" s="6" t="n">
        <v>0.12</v>
      </c>
      <c r="F7" s="4" t="n"/>
      <c r="G7" s="5" t="n"/>
      <c r="H7" s="7">
        <f>IFERROR(E7*F7,"")</f>
        <v/>
      </c>
    </row>
    <row r="8" ht="110" customHeight="1">
      <c r="A8" s="4" t="inlineStr">
        <is>
          <t>Q4</t>
        </is>
      </c>
      <c r="B8" s="5" t="inlineStr">
        <is>
          <t>Versionado de eventos y schemas</t>
        </is>
      </c>
      <c r="C8" s="5" t="inlineStr">
        <is>
          <t>¿El diseño contempla un Schema Registry y políticas de evolución (compatibilidad backward/forward) para los eventos publicados en el MessageBroker, de modo que MotorElegibilidadXPais, Notificaciones, DetectorFraude y ActualizadorCache puedan evolucionar de manera independiente sin romper a productores existentes?</t>
        </is>
      </c>
      <c r="D8" s="5" t="inlineStr">
        <is>
          <t>MessageBroker, MotorElegibilidadXPais, Notificaciones, DetectorFraude, ActualizadorCache</t>
        </is>
      </c>
      <c r="E8" s="6" t="n">
        <v>0.1</v>
      </c>
      <c r="F8" s="4" t="n"/>
      <c r="G8" s="5" t="n"/>
      <c r="H8" s="7">
        <f>IFERROR(E8*F8,"")</f>
        <v/>
      </c>
    </row>
    <row r="9" ht="110" customHeight="1">
      <c r="A9" s="4" t="inlineStr">
        <is>
          <t>Q5</t>
        </is>
      </c>
      <c r="B9" s="5" t="inlineStr">
        <is>
          <t>Versionado de APIs públicas y compatibilidad hacia atrás</t>
        </is>
      </c>
      <c r="C9" s="5" t="inlineStr">
        <is>
          <t>¿El ApiGateway formaliza una estrategia explícita de versionado de APIs públicas (URI versioning, header versioning o contract testing) que permita a AplicacionMovil y AplicacionWeb coexistir con múltiples versiones simultáneas durante despliegues azules/verdes o canary?</t>
        </is>
      </c>
      <c r="D9" s="5" t="inlineStr">
        <is>
          <t>ApiGateway, AplicacionMovil, AplicacionWeb</t>
        </is>
      </c>
      <c r="E9" s="6" t="n">
        <v>0.08</v>
      </c>
      <c r="F9" s="4" t="n"/>
      <c r="G9" s="5" t="n"/>
      <c r="H9" s="7">
        <f>IFERROR(E9*F9,"")</f>
        <v/>
      </c>
    </row>
    <row r="10" ht="110" customHeight="1">
      <c r="A10" s="4" t="inlineStr">
        <is>
          <t>Q6</t>
        </is>
      </c>
      <c r="B10" s="5" t="inlineStr">
        <is>
          <t>Integración con proveedores externos heterogéneos</t>
        </is>
      </c>
      <c r="C10" s="5" t="inlineStr">
        <is>
          <t>¿El diseño especifica con suficiente claridad la integración con sistemas externos (ValidadorIdentidad, ConsultaProveedores y Convenios), incluyendo clientes dedicados, contratos definidos, mecanismos de timeout y fallback, de forma que un cambio en un proveedor externo no propague rotura a los demás?</t>
        </is>
      </c>
      <c r="D10" s="5" t="inlineStr">
        <is>
          <t>ValidadorIdentidad, ConsultaProveedores, Convenios, OnboardingXPais, MotorElegibilidadXPais, Pagos</t>
        </is>
      </c>
      <c r="E10" s="6" t="n">
        <v>0.1</v>
      </c>
      <c r="F10" s="4" t="n"/>
      <c r="G10" s="5" t="n"/>
      <c r="H10" s="7">
        <f>IFERROR(E10*F10,"")</f>
        <v/>
      </c>
    </row>
    <row r="11" ht="110" customHeight="1">
      <c r="A11" s="4" t="inlineStr">
        <is>
          <t>Q7</t>
        </is>
      </c>
      <c r="B11" s="5" t="inlineStr">
        <is>
          <t>Automatización de elegibilidad bajo el SLA de 10 minutos</t>
        </is>
      </c>
      <c r="C11" s="5" t="inlineStr">
        <is>
          <t>¿La cadena CDTXPais → MessageBroker.cdt.eventos → MotorElegibilidadXPais (con consulta a ConsultaProveedores y materialización del resultado en CacheDistribuido) sustituye plenamente las validaciones manuales que hoy demoran 4 días, manteniéndose dentro del umbral del ASR-3 de elegibilidad &lt; 10 minutos de forma automática?</t>
        </is>
      </c>
      <c r="D11" s="5" t="inlineStr">
        <is>
          <t>CDTXPais, MessageBroker, MotorElegibilidadXPais, ConsultaProveedores, CacheDistribuido</t>
        </is>
      </c>
      <c r="E11" s="6" t="n">
        <v>0.12</v>
      </c>
      <c r="F11" s="4" t="n"/>
      <c r="G11" s="5" t="n"/>
      <c r="H11" s="7">
        <f>IFERROR(E11*F11,"")</f>
        <v/>
      </c>
    </row>
    <row r="12" ht="110" customHeight="1">
      <c r="A12" s="4" t="inlineStr">
        <is>
          <t>Q8</t>
        </is>
      </c>
      <c r="B12" s="5" t="inlineStr">
        <is>
          <t>Cohesión interna y bajo acoplamiento entre subsistemas</t>
        </is>
      </c>
      <c r="C12" s="5" t="inlineStr">
        <is>
          <t>¿Las dependencias en el diagrama de componentes muestran que el subsistema LineaVerde se acopla a CoreBancoZ exclusivamente a través del subsistema Integracion (sin atajos directos) y a Datos por almacén dedicado por contexto (AlmacenCDTXPais, AlmacenCreditoXPais, AlmacenPagosXPais), respetando el principio de bounded context?</t>
        </is>
      </c>
      <c r="D12" s="5" t="inlineStr">
        <is>
          <t>LineaVerde, Integracion, CoreBancoZ, AlmacenCDTXPais, AlmacenCreditoXPais, AlmacenPagosXPais</t>
        </is>
      </c>
      <c r="E12" s="6" t="n">
        <v>0.08</v>
      </c>
      <c r="F12" s="4" t="n"/>
      <c r="G12" s="5" t="n"/>
      <c r="H12" s="7">
        <f>IFERROR(E12*F12,"")</f>
        <v/>
      </c>
    </row>
    <row r="13" ht="110" customHeight="1">
      <c r="A13" s="4" t="inlineStr">
        <is>
          <t>Q9</t>
        </is>
      </c>
      <c r="B13" s="5" t="inlineStr">
        <is>
          <t>Capacidad de evolución multi-país (multi-tenancy)</t>
        </is>
      </c>
      <c r="C13" s="5" t="inlineStr">
        <is>
          <t>¿El patrón XPais (sufijo en CDTXPais, CreditoExpressXPais, OnboardingXPais, AlmacenCDTXPais, AlmacenCreditoXPais, AlmacenPagosXPais y el atributo pais : Pais en el diagrama de clases) permite incorporar un nuevo país, o evolucionar las reglas de un país existente, sin modificar los componentes de los demás países?</t>
        </is>
      </c>
      <c r="D13" s="5" t="inlineStr">
        <is>
          <t>CDTXPais, CreditoExpressXPais, OnboardingXPais, AlmacenCDTXPais, AlmacenCreditoXPais, AlmacenPagosXPais</t>
        </is>
      </c>
      <c r="E13" s="6" t="n">
        <v>0.06</v>
      </c>
      <c r="F13" s="4" t="n"/>
      <c r="G13" s="5" t="n"/>
      <c r="H13" s="7">
        <f>IFERROR(E13*F13,"")</f>
        <v/>
      </c>
    </row>
    <row r="14" ht="110" customHeight="1">
      <c r="A14" s="4" t="inlineStr">
        <is>
          <t>Q10</t>
        </is>
      </c>
      <c r="B14" s="5" t="inlineStr">
        <is>
          <t>Resiliencia y aislamiento de fallos en la integración</t>
        </is>
      </c>
      <c r="C14" s="5" t="inlineStr">
        <is>
          <t>¿El CircuitBreaker, los pools de hilos/conexiones acotados en el AdaptadorCore y el buffering del MessageBroker garantizan que una degradación de CoreBancoZ no se traduzca en fallos en cascada hacia CDTXPais, CreditoExpressXPais, Pagos y los canales (AplicacionMovil, AplicacionWeb)?</t>
        </is>
      </c>
      <c r="D14" s="5" t="inlineStr">
        <is>
          <t>CircuitBreaker, AdaptadorCore, MessageBroker, CoreBancoZ, CDTXPais, CreditoExpressXPais, Pagos</t>
        </is>
      </c>
      <c r="E14" s="6" t="n">
        <v>0.07000000000000001</v>
      </c>
      <c r="F14" s="4" t="n"/>
      <c r="G14" s="5" t="n"/>
      <c r="H14" s="7">
        <f>IFERROR(E14*F14,"")</f>
        <v/>
      </c>
    </row>
    <row r="16">
      <c r="B16" s="8" t="inlineStr">
        <is>
          <t>TOTAL / VEREDICTO</t>
        </is>
      </c>
      <c r="D16" s="9" t="inlineStr">
        <is>
          <t>Suma de pesos:</t>
        </is>
      </c>
      <c r="E16" s="10">
        <f>SUM(E5:E14)</f>
        <v/>
      </c>
      <c r="G16" s="9" t="inlineStr">
        <is>
          <t>Promedio ponderado:</t>
        </is>
      </c>
      <c r="H16" s="11">
        <f>IFERROR(SUM(H5:H14)/SUM(E5:E14),"")</f>
        <v/>
      </c>
    </row>
    <row r="17">
      <c r="G17" s="12" t="inlineStr">
        <is>
          <t>Veredicto:</t>
        </is>
      </c>
      <c r="H17" s="13">
        <f>IF(H16="","Pendiente",IF(H16&gt;4.0,"CUMPLIDO","NO CUMPLIDO"))</f>
        <v/>
      </c>
    </row>
  </sheetData>
  <mergeCells count="2">
    <mergeCell ref="A2:G2"/>
    <mergeCell ref="A1:G1"/>
  </mergeCells>
  <conditionalFormatting sqref="H17">
    <cfRule type="cellIs" priority="1" operator="equal" dxfId="0">
      <formula>"CUMPLIDO"</formula>
    </cfRule>
    <cfRule type="cellIs" priority="2" operator="equal" dxfId="1">
      <formula>"NO CUMPLIDO"</formula>
    </cfRule>
  </conditionalFormatting>
  <conditionalFormatting sqref="H16">
    <cfRule type="cellIs" priority="3" operator="greaterThan" dxfId="0">
      <formula>4.0</formula>
    </cfRule>
    <cfRule type="cellIs" priority="4" operator="lessThanOrEqual" dxfId="1">
      <formula>4.0</formula>
    </cfRule>
  </conditionalFormatting>
  <dataValidations count="1">
    <dataValidation sqref="F5 F6 F7 F8 F9 F10 F11 F12 F13 F14" showDropDown="0" showInputMessage="0" showErrorMessage="0" allowBlank="1" errorTitle="Calificación inválida" error="Ingrese un entero entre 1 y 5" promptTitle="Escala" prompt="1=No cumple, 5=Cumple a cabalidad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0" customWidth="1" min="3" max="3"/>
  </cols>
  <sheetData>
    <row r="1">
      <c r="A1" s="1" t="inlineStr">
        <is>
          <t>Escala de calificación</t>
        </is>
      </c>
    </row>
    <row r="3">
      <c r="A3" s="14" t="inlineStr">
        <is>
          <t>Valor</t>
        </is>
      </c>
      <c r="B3" s="14" t="inlineStr">
        <is>
          <t>Etiqueta</t>
        </is>
      </c>
      <c r="C3" s="14" t="inlineStr">
        <is>
          <t>Descripción</t>
        </is>
      </c>
    </row>
    <row r="4">
      <c r="A4" s="15" t="n">
        <v>1</v>
      </c>
      <c r="B4" t="inlineStr">
        <is>
          <t>No cumple en absoluto</t>
        </is>
      </c>
      <c r="C4" s="2" t="inlineStr">
        <is>
          <t>El componente o decisión no aparece o contradice la propiedad evaluada.</t>
        </is>
      </c>
    </row>
    <row r="5">
      <c r="A5" s="15" t="n">
        <v>2</v>
      </c>
      <c r="B5" t="inlineStr">
        <is>
          <t>Cumple parcialmente bajo</t>
        </is>
      </c>
      <c r="C5" s="2" t="inlineStr">
        <is>
          <t>Aparece de forma incipiente; gaps significativos.</t>
        </is>
      </c>
    </row>
    <row r="6">
      <c r="A6" s="15" t="n">
        <v>3</v>
      </c>
      <c r="B6" t="inlineStr">
        <is>
          <t>Cumple parcialmente</t>
        </is>
      </c>
      <c r="C6" s="2" t="inlineStr">
        <is>
          <t>Aparece pero con ambigüedad o decisiones pendientes.</t>
        </is>
      </c>
    </row>
    <row r="7">
      <c r="A7" s="15" t="n">
        <v>4</v>
      </c>
      <c r="B7" t="inlineStr">
        <is>
          <t>Cumple en alto grado</t>
        </is>
      </c>
      <c r="C7" s="2" t="inlineStr">
        <is>
          <t>Decisión presente, justificada y trazable a los diagramas.</t>
        </is>
      </c>
    </row>
    <row r="8">
      <c r="A8" s="15" t="n">
        <v>5</v>
      </c>
      <c r="B8" t="inlineStr">
        <is>
          <t>Cumple a cabalidad</t>
        </is>
      </c>
      <c r="C8" s="2" t="inlineStr">
        <is>
          <t>Decisión explícita, completa y consistente en componentes/clases/despliegue.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Resultado de la evaluación del ASR-3</t>
        </is>
      </c>
    </row>
    <row r="3">
      <c r="A3" s="8" t="inlineStr">
        <is>
          <t>Promedio ponderado:</t>
        </is>
      </c>
      <c r="B3" s="16">
        <f>Encuesta!H16</f>
        <v/>
      </c>
    </row>
    <row r="4">
      <c r="A4" s="8" t="inlineStr">
        <is>
          <t>Umbral de aprobación:</t>
        </is>
      </c>
      <c r="B4" t="inlineStr">
        <is>
          <t>&gt; 4.0</t>
        </is>
      </c>
    </row>
    <row r="5">
      <c r="A5" s="8" t="inlineStr">
        <is>
          <t>Veredicto:</t>
        </is>
      </c>
      <c r="B5" s="17">
        <f>Encuesta!H17</f>
        <v/>
      </c>
    </row>
    <row r="7">
      <c r="A7" s="2" t="inlineStr">
        <is>
          <t>Cálculo: cada pregunta tiene un peso wi (sumando 1.00) y una calificación si en [1,5]. El promedio ponderado se calcula como Σ(wi · si) / Σ(wi). El ASR-3 se considera CUMPLIDO únicamente si el promedio ponderado es estrictamente &gt; 4.0.</t>
        </is>
      </c>
    </row>
    <row r="8"/>
    <row r="9"/>
  </sheetData>
  <mergeCells count="1">
    <mergeCell ref="A7:F9"/>
  </mergeCells>
  <conditionalFormatting sqref="B5">
    <cfRule type="cellIs" priority="1" operator="equal" dxfId="0">
      <formula>"CUMPLIDO"</formula>
    </cfRule>
    <cfRule type="cellIs" priority="2" operator="equal" dxfId="1">
      <formula>"NO CUMPLIDO"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2026-05-05T04:26:49Z</dcterms:created>
  <dcterms:modified xsi:type="dcterms:W3CDTF">2026-05-05T04:26:49Z</dcterms:modified>
</cp:coreProperties>
</file>